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HP\Desktop\RESEARCH PAPER\WEBUI 2\symm - tls\"/>
    </mc:Choice>
  </mc:AlternateContent>
  <xr:revisionPtr revIDLastSave="0" documentId="13_ncr:1_{C7FBB83E-16FA-4A52-BB8A-6063406CFF28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87" i="5" l="1"/>
  <c r="I16" i="5"/>
  <c r="I14" i="5"/>
  <c r="F12" i="5"/>
  <c r="F26" i="5"/>
  <c r="F25" i="5"/>
  <c r="F24" i="5"/>
  <c r="F23" i="5"/>
  <c r="F22" i="5"/>
  <c r="F21" i="5"/>
  <c r="F17" i="5"/>
  <c r="F16" i="5"/>
  <c r="F15" i="5"/>
  <c r="F14" i="5"/>
  <c r="F13" i="5"/>
  <c r="C3" i="7"/>
  <c r="C4" i="7"/>
  <c r="C5" i="7"/>
  <c r="C2" i="7"/>
  <c r="I7" i="4"/>
  <c r="I8" i="4"/>
  <c r="I9" i="4"/>
  <c r="I10" i="4"/>
  <c r="I11" i="4"/>
  <c r="I6" i="4"/>
  <c r="E7" i="4"/>
  <c r="E8" i="4"/>
  <c r="E9" i="4"/>
  <c r="E10" i="4"/>
  <c r="E11" i="4"/>
  <c r="E6" i="4"/>
  <c r="J8" i="2"/>
  <c r="J7" i="2"/>
  <c r="J6" i="2"/>
  <c r="J5" i="2"/>
  <c r="J4" i="2"/>
  <c r="J3" i="2"/>
  <c r="D3" i="2"/>
  <c r="D8" i="2"/>
  <c r="D7" i="2"/>
  <c r="D6" i="2"/>
  <c r="D4" i="2"/>
  <c r="D5" i="2"/>
</calcChain>
</file>

<file path=xl/sharedStrings.xml><?xml version="1.0" encoding="utf-8"?>
<sst xmlns="http://schemas.openxmlformats.org/spreadsheetml/2006/main" count="103" uniqueCount="44">
  <si>
    <t>Session</t>
  </si>
  <si>
    <t>GET / @</t>
  </si>
  <si>
    <t>POST /decrypt @</t>
  </si>
  <si>
    <t>Total elapsed</t>
  </si>
  <si>
    <t>1 m 27 s</t>
  </si>
  <si>
    <t>56 s</t>
  </si>
  <si>
    <t>23 s</t>
  </si>
  <si>
    <t>58 s</t>
  </si>
  <si>
    <t>miliseconds</t>
  </si>
  <si>
    <t>No</t>
  </si>
  <si>
    <t>GET Timestamp</t>
  </si>
  <si>
    <t>POST Timestamp</t>
  </si>
  <si>
    <t>Duration (seconds)</t>
  </si>
  <si>
    <t xml:space="preserve"> 10:09:38</t>
  </si>
  <si>
    <t xml:space="preserve">  10:09:57</t>
  </si>
  <si>
    <t xml:space="preserve">  10:10:51</t>
  </si>
  <si>
    <t xml:space="preserve">  10:11:44</t>
  </si>
  <si>
    <t xml:space="preserve">  10:12:01</t>
  </si>
  <si>
    <t xml:space="preserve">  10:12:39</t>
  </si>
  <si>
    <t xml:space="preserve">  10:12:55</t>
  </si>
  <si>
    <t xml:space="preserve"> 10:13:49</t>
  </si>
  <si>
    <t>milisconds</t>
  </si>
  <si>
    <t>session</t>
  </si>
  <si>
    <t>Elapsed</t>
  </si>
  <si>
    <t>symmetric</t>
  </si>
  <si>
    <t>asymetric</t>
  </si>
  <si>
    <t>S</t>
  </si>
  <si>
    <t>Elapsed (milliseconds)</t>
  </si>
  <si>
    <t>method</t>
  </si>
  <si>
    <t>asymmetric</t>
  </si>
  <si>
    <t>Start (GET /)</t>
  </si>
  <si>
    <t>End (POST /decrypt-message)</t>
  </si>
  <si>
    <t xml:space="preserve">                             10:09:57</t>
  </si>
  <si>
    <t>Himanshi</t>
  </si>
  <si>
    <t>Vaibhav</t>
  </si>
  <si>
    <t>HarshiT</t>
  </si>
  <si>
    <t>Harshita</t>
  </si>
  <si>
    <t>NAME</t>
  </si>
  <si>
    <t>HINDI</t>
  </si>
  <si>
    <t>MATHS</t>
  </si>
  <si>
    <t>ALT H O I</t>
  </si>
  <si>
    <t xml:space="preserve">BENCHMARK ( 70000 ) </t>
  </si>
  <si>
    <t>SYMMETRIC</t>
  </si>
  <si>
    <t>ASYMMETRIC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</si>
</sst>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.6"/>
      <color theme="1"/>
      <name val="Segoe UI"/>
      <family val="2"/>
    </font>
    <font>
      <sz val="9.6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22" fontId="0" fillId="0" borderId="0" xfId="0" applyNumberFormat="1"/>
    <xf numFmtId="22" fontId="0" fillId="0" borderId="0" xfId="0" applyNumberFormat="1" applyAlignment="1">
      <alignment vertical="center" wrapText="1"/>
    </xf>
    <xf numFmtId="21" fontId="0" fillId="0" borderId="0" xfId="0" applyNumberFormat="1"/>
    <xf numFmtId="0" fontId="2" fillId="0" borderId="0" xfId="0" applyFont="1" applyAlignment="1">
      <alignment horizontal="left" vertical="top" wrapText="1"/>
    </xf>
    <xf numFmtId="0" fontId="3" fillId="0" borderId="1" xfId="0" applyFont="1" applyBorder="1" applyAlignment="1">
      <alignment vertical="center" wrapText="1"/>
    </xf>
    <xf numFmtId="3" fontId="3" fillId="0" borderId="1" xfId="0" applyNumberFormat="1" applyFont="1" applyBorder="1" applyAlignment="1">
      <alignment vertical="center" wrapText="1"/>
    </xf>
    <xf numFmtId="164" fontId="0" fillId="0" borderId="0" xfId="0" applyNumberFormat="1"/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21" fontId="0" fillId="0" borderId="2" xfId="0" applyNumberFormat="1" applyBorder="1" applyAlignment="1">
      <alignment horizontal="center"/>
    </xf>
    <xf numFmtId="22" fontId="0" fillId="0" borderId="2" xfId="0" applyNumberFormat="1" applyBorder="1" applyAlignment="1">
      <alignment horizontal="center"/>
    </xf>
    <xf numFmtId="22" fontId="0" fillId="0" borderId="2" xfId="0" applyNumberFormat="1" applyBorder="1" applyAlignment="1">
      <alignment horizontal="left"/>
    </xf>
    <xf numFmtId="0" fontId="0" fillId="0" borderId="3" xfId="0" applyBorder="1" applyAlignment="1">
      <alignment horizontal="center"/>
    </xf>
    <xf numFmtId="0" fontId="0" fillId="0" borderId="4" xfId="0" applyBorder="1"/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22" fontId="0" fillId="0" borderId="9" xfId="0" applyNumberFormat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/>
  </cellXfs>
  <cellStyles count="1">
    <cellStyle name="Normal" xfId="0" builtinId="0"/>
  </cellStyles>
  <dxfs count="10">
    <dxf>
      <numFmt numFmtId="164" formatCode="[$-F400]h:mm:ss\ AM/PM"/>
    </dxf>
    <dxf>
      <numFmt numFmtId="164" formatCode="[$-F400]h:mm:ss\ AM/PM"/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7" formatCode="dd/mm/yyyy\ hh:mm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val>
            <c:numRef>
              <c:f>Sheet2!$I$3:$I$8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F5-4668-8969-9D1569584095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val>
            <c:numRef>
              <c:f>Sheet2!$J$3:$J$8</c:f>
              <c:numCache>
                <c:formatCode>General</c:formatCode>
                <c:ptCount val="6"/>
                <c:pt idx="0">
                  <c:v>-9000</c:v>
                </c:pt>
                <c:pt idx="1">
                  <c:v>17000</c:v>
                </c:pt>
                <c:pt idx="2">
                  <c:v>-4000</c:v>
                </c:pt>
                <c:pt idx="3">
                  <c:v>15000</c:v>
                </c:pt>
                <c:pt idx="4">
                  <c:v>12000</c:v>
                </c:pt>
                <c:pt idx="5">
                  <c:v>-4000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2F5-4668-8969-9D15695840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877162159"/>
        <c:axId val="877171279"/>
        <c:axId val="0"/>
      </c:bar3DChart>
      <c:catAx>
        <c:axId val="87716215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7171279"/>
        <c:crosses val="autoZero"/>
        <c:auto val="1"/>
        <c:lblAlgn val="ctr"/>
        <c:lblOffset val="100"/>
        <c:noMultiLvlLbl val="0"/>
      </c:catAx>
      <c:valAx>
        <c:axId val="877171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71621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0"/>
    </c:view3D>
    <c:floor>
      <c:thickness val="0"/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  <a:sp3d contourW="9525">
          <a:contourClr>
            <a:schemeClr val="tx1">
              <a:lumMod val="15000"/>
              <a:lumOff val="85000"/>
            </a:schemeClr>
          </a:contourClr>
        </a:sp3d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area3DChart>
        <c:grouping val="stack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  <a:sp3d/>
          </c:spPr>
          <c:val>
            <c:numRef>
              <c:f>Sheet4!$I$6:$I$11</c:f>
              <c:numCache>
                <c:formatCode>General</c:formatCode>
                <c:ptCount val="6"/>
                <c:pt idx="0">
                  <c:v>11000</c:v>
                </c:pt>
                <c:pt idx="1">
                  <c:v>37000</c:v>
                </c:pt>
                <c:pt idx="2">
                  <c:v>16000</c:v>
                </c:pt>
                <c:pt idx="3">
                  <c:v>35000</c:v>
                </c:pt>
                <c:pt idx="4">
                  <c:v>32000</c:v>
                </c:pt>
                <c:pt idx="5">
                  <c:v>16000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E4-4281-A2A2-78D88DE127F3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  <a:sp3d/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Sheet4!$J$6:$J$11</c:f>
              <c:numCache>
                <c:formatCode>General</c:formatCode>
                <c:ptCount val="6"/>
                <c:pt idx="0">
                  <c:v>-6000</c:v>
                </c:pt>
                <c:pt idx="1">
                  <c:v>42000</c:v>
                </c:pt>
                <c:pt idx="2">
                  <c:v>-6000</c:v>
                </c:pt>
                <c:pt idx="3">
                  <c:v>39000</c:v>
                </c:pt>
                <c:pt idx="4">
                  <c:v>32000</c:v>
                </c:pt>
                <c:pt idx="5">
                  <c:v>38000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EE4-4281-A2A2-78D88DE127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64536367"/>
        <c:axId val="1964542127"/>
        <c:axId val="0"/>
      </c:area3DChart>
      <c:catAx>
        <c:axId val="1964536367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4542127"/>
        <c:crosses val="autoZero"/>
        <c:auto val="1"/>
        <c:lblAlgn val="ctr"/>
        <c:lblOffset val="100"/>
        <c:noMultiLvlLbl val="0"/>
      </c:catAx>
      <c:valAx>
        <c:axId val="19645421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453636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SYMMETRIC CRYPTOGRAPHY SESSION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Sheet5!$I$13</c:f>
              <c:strCache>
                <c:ptCount val="1"/>
                <c:pt idx="0">
                  <c:v>Elapsed (milliseconds)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Sheet5!$H$14:$H$19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numCache>
            </c:numRef>
          </c:xVal>
          <c:yVal>
            <c:numRef>
              <c:f>Sheet5!$I$14:$I$19</c:f>
              <c:numCache>
                <c:formatCode>General</c:formatCode>
                <c:ptCount val="6"/>
                <c:pt idx="0">
                  <c:v>11000</c:v>
                </c:pt>
                <c:pt idx="1">
                  <c:v>37000</c:v>
                </c:pt>
                <c:pt idx="2">
                  <c:v>16000</c:v>
                </c:pt>
                <c:pt idx="3">
                  <c:v>35000</c:v>
                </c:pt>
                <c:pt idx="4">
                  <c:v>32000</c:v>
                </c:pt>
                <c:pt idx="5">
                  <c:v>16000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195-44AD-8396-F31A2CE3F4ED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2081376943"/>
        <c:axId val="2081384143"/>
      </c:scatterChart>
      <c:valAx>
        <c:axId val="20813769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SESSION NUMBER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1384143"/>
        <c:crosses val="autoZero"/>
        <c:crossBetween val="midCat"/>
      </c:valAx>
      <c:valAx>
        <c:axId val="20813841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TIME (IN  MILLISECONDS)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137694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ASYMMETRIC CRYPTOGRAPHY</a:t>
            </a:r>
            <a:r>
              <a:rPr lang="en-US" baseline="0"/>
              <a:t> </a:t>
            </a:r>
            <a:r>
              <a:rPr lang="en-US"/>
              <a:t>SESSION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Sheet5!$S$84</c:f>
              <c:strCache>
                <c:ptCount val="1"/>
                <c:pt idx="0">
                  <c:v>ASYMMETRIC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Sheet5!$R$85:$R$90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numCache>
            </c:numRef>
          </c:xVal>
          <c:yVal>
            <c:numRef>
              <c:f>Sheet5!$S$85:$S$90</c:f>
              <c:numCache>
                <c:formatCode>General</c:formatCode>
                <c:ptCount val="6"/>
                <c:pt idx="0">
                  <c:v>-6000</c:v>
                </c:pt>
                <c:pt idx="1">
                  <c:v>42000</c:v>
                </c:pt>
                <c:pt idx="2">
                  <c:v>-6000</c:v>
                </c:pt>
                <c:pt idx="3">
                  <c:v>39000</c:v>
                </c:pt>
                <c:pt idx="4">
                  <c:v>32000</c:v>
                </c:pt>
                <c:pt idx="5">
                  <c:v>38000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71C-4D2E-9B89-34B6B73A84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1417263"/>
        <c:axId val="2081409103"/>
      </c:scatterChart>
      <c:valAx>
        <c:axId val="20814172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SESSION NUMBER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1409103"/>
        <c:crosses val="autoZero"/>
        <c:crossBetween val="midCat"/>
      </c:valAx>
      <c:valAx>
        <c:axId val="2081409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TIME</a:t>
                </a:r>
                <a:r>
                  <a:rPr lang="en-IN" baseline="0"/>
                  <a:t> (IN MILLISECONDS)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14172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SYMMETRIC</a:t>
            </a:r>
            <a:r>
              <a:rPr lang="en-IN" baseline="0"/>
              <a:t> Vs ASYMMETRIC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0"/>
    </c:view3D>
    <c:floor>
      <c:thickness val="0"/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  <a:sp3d contourW="9525">
          <a:contourClr>
            <a:schemeClr val="tx1">
              <a:lumMod val="15000"/>
              <a:lumOff val="85000"/>
            </a:schemeClr>
          </a:contourClr>
        </a:sp3d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area3DChart>
        <c:grouping val="stacked"/>
        <c:varyColors val="0"/>
        <c:ser>
          <c:idx val="0"/>
          <c:order val="0"/>
          <c:tx>
            <c:strRef>
              <c:f>Sheet5!$S$84</c:f>
              <c:strCache>
                <c:ptCount val="1"/>
                <c:pt idx="0">
                  <c:v>ASYMMETRIC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cat>
            <c:numRef>
              <c:f>Sheet5!$R$85:$R$90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numCache>
            </c:numRef>
          </c:cat>
          <c:val>
            <c:numRef>
              <c:f>Sheet5!$S$85:$S$90</c:f>
              <c:numCache>
                <c:formatCode>General</c:formatCode>
                <c:ptCount val="6"/>
                <c:pt idx="0">
                  <c:v>-6000</c:v>
                </c:pt>
                <c:pt idx="1">
                  <c:v>42000</c:v>
                </c:pt>
                <c:pt idx="2">
                  <c:v>-6000</c:v>
                </c:pt>
                <c:pt idx="3">
                  <c:v>39000</c:v>
                </c:pt>
                <c:pt idx="4">
                  <c:v>32000</c:v>
                </c:pt>
                <c:pt idx="5">
                  <c:v>38000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D25-401F-AE40-5DAD4FDF31A4}"/>
            </c:ext>
          </c:extLst>
        </c:ser>
        <c:ser>
          <c:idx val="1"/>
          <c:order val="1"/>
          <c:tx>
            <c:strRef>
              <c:f>Sheet5!$T$84</c:f>
              <c:strCache>
                <c:ptCount val="1"/>
                <c:pt idx="0">
                  <c:v>SYMMETRIC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cat>
            <c:numRef>
              <c:f>Sheet5!$R$85:$R$90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numCache>
            </c:numRef>
          </c:cat>
          <c:val>
            <c:numRef>
              <c:f>Sheet5!$T$85:$T$90</c:f>
              <c:numCache>
                <c:formatCode>General</c:formatCode>
                <c:ptCount val="6"/>
                <c:pt idx="0">
                  <c:v>11000</c:v>
                </c:pt>
                <c:pt idx="1">
                  <c:v>37000</c:v>
                </c:pt>
                <c:pt idx="2">
                  <c:v>16000</c:v>
                </c:pt>
                <c:pt idx="3">
                  <c:v>35000</c:v>
                </c:pt>
                <c:pt idx="4">
                  <c:v>32000</c:v>
                </c:pt>
                <c:pt idx="5">
                  <c:v>16000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D25-401F-AE40-5DAD4FDF31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061599"/>
        <c:axId val="63061119"/>
        <c:axId val="0"/>
      </c:area3DChart>
      <c:catAx>
        <c:axId val="6306159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SESSION</a:t>
                </a:r>
                <a:r>
                  <a:rPr lang="en-IN" baseline="0"/>
                  <a:t> NO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061119"/>
        <c:crosses val="autoZero"/>
        <c:auto val="1"/>
        <c:lblAlgn val="ctr"/>
        <c:lblOffset val="100"/>
        <c:noMultiLvlLbl val="0"/>
      </c:catAx>
      <c:valAx>
        <c:axId val="630611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TIME (IN MILLISECONDS)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06159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68580</xdr:colOff>
      <xdr:row>9</xdr:row>
      <xdr:rowOff>163830</xdr:rowOff>
    </xdr:from>
    <xdr:to>
      <xdr:col>9</xdr:col>
      <xdr:colOff>335280</xdr:colOff>
      <xdr:row>24</xdr:row>
      <xdr:rowOff>163830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D98BDB4-84B7-095D-D823-9C01E34875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441960</xdr:colOff>
      <xdr:row>4</xdr:row>
      <xdr:rowOff>49530</xdr:rowOff>
    </xdr:from>
    <xdr:to>
      <xdr:col>19</xdr:col>
      <xdr:colOff>137160</xdr:colOff>
      <xdr:row>19</xdr:row>
      <xdr:rowOff>49530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494968-CDC4-BB6C-AE96-43E10F8237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1120140</xdr:colOff>
      <xdr:row>22</xdr:row>
      <xdr:rowOff>76200</xdr:rowOff>
    </xdr:from>
    <xdr:to>
      <xdr:col>13</xdr:col>
      <xdr:colOff>403860</xdr:colOff>
      <xdr:row>38</xdr:row>
      <xdr:rowOff>175260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0A57EA9-D4E7-D15B-38EE-1179082F52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1082040</xdr:colOff>
      <xdr:row>39</xdr:row>
      <xdr:rowOff>179070</xdr:rowOff>
    </xdr:from>
    <xdr:to>
      <xdr:col>13</xdr:col>
      <xdr:colOff>312420</xdr:colOff>
      <xdr:row>56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BEBB5BE-D4D0-4A29-97E3-CD2B3C3F5B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853807</xdr:colOff>
      <xdr:row>41</xdr:row>
      <xdr:rowOff>18362</xdr:rowOff>
    </xdr:from>
    <xdr:to>
      <xdr:col>6</xdr:col>
      <xdr:colOff>472440</xdr:colOff>
      <xdr:row>60</xdr:row>
      <xdr:rowOff>179070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283F012-FCC9-4BF1-B441-088E9C8457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D4D8002-0178-4C60-8B91-1F7B4FA8A734}" name="Table1" displayName="Table1" ref="B11:F17" totalsRowShown="0" headerRowDxfId="2" headerRowBorderDxfId="8" tableBorderDxfId="9" totalsRowBorderDxfId="7">
  <autoFilter ref="B11:F17" xr:uid="{4D4D8002-0178-4C60-8B91-1F7B4FA8A734}"/>
  <tableColumns count="5">
    <tableColumn id="1" xr3:uid="{93358E93-CC69-4E4A-ADCA-D753E77CF0BD}" name="Session" dataDxfId="6"/>
    <tableColumn id="2" xr3:uid="{BE891121-3170-4851-AFC2-9AA901A4C529}" name="Start (GET /)"/>
    <tableColumn id="3" xr3:uid="{1413FAED-DE32-4B06-B219-C5BE31E4AA30}" name="End (POST /decrypt-message)" dataDxfId="5"/>
    <tableColumn id="4" xr3:uid="{1362C9D9-74A2-4042-9E79-221ABA0E9572}" name="Elapsed (milliseconds)" dataDxfId="4"/>
    <tableColumn id="5" xr3:uid="{D2DDF08F-F119-42F9-BDD9-E4093D8F0254}" name="BENCHMARK ( 70000 ) " dataDxfId="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47DE657-F64B-45B0-81B6-E151399CE7C6}" name="Table2" displayName="Table2" ref="B20:F26" totalsRowShown="0">
  <autoFilter ref="B20:F26" xr:uid="{747DE657-F64B-45B0-81B6-E151399CE7C6}"/>
  <tableColumns count="5">
    <tableColumn id="1" xr3:uid="{A685DC30-F816-4BDA-AF03-D9F6DA5A61B4}" name="Session"/>
    <tableColumn id="2" xr3:uid="{F757940F-14AD-45B7-BD77-9075A8F4C664}" name="Start (GET /)" dataDxfId="1"/>
    <tableColumn id="3" xr3:uid="{D06A4495-7EA8-43CC-849F-159898786289}" name="End (POST /decrypt-message)" dataDxfId="0"/>
    <tableColumn id="4" xr3:uid="{74B7C508-7D54-45CA-9945-EB89D10BC4B2}" name="Elapsed"/>
    <tableColumn id="5" xr3:uid="{F36E5AE3-F527-42F2-9D3E-E414FE2D1F58}" name="BENCHMARK ( 70000 ) "/>
  </tableColumns>
  <tableStyleInfo name="TableStyleLight2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2376682-74B1-4527-A390-4742266AD8CA}" name="Table4" displayName="Table4" ref="R84:T90" totalsRowShown="0">
  <autoFilter ref="R84:T90" xr:uid="{C2376682-74B1-4527-A390-4742266AD8CA}"/>
  <tableColumns count="3">
    <tableColumn id="1" xr3:uid="{DBA47CF5-4457-4247-8A8F-3B092DB090C6}" name="Session"/>
    <tableColumn id="2" xr3:uid="{F358E570-A8ED-47F8-BE02-60CC49D8040E}" name="ASYMMETRIC"/>
    <tableColumn id="3" xr3:uid="{25F04D83-6988-4AAD-B4F2-47484A17DA96}" name="SYMMETRIC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Relationship Id="rId5" Type="http://schemas.openxmlformats.org/officeDocument/2006/relationships/table" Target="../tables/table3.xml"/><Relationship Id="rId4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"/>
  <sheetViews>
    <sheetView workbookViewId="0">
      <selection activeCell="A14" sqref="A14:F20"/>
    </sheetView>
  </sheetViews>
  <sheetFormatPr defaultRowHeight="14.4" x14ac:dyDescent="0.3"/>
  <cols>
    <col min="2" max="2" width="28.33203125" customWidth="1"/>
    <col min="3" max="3" width="34" customWidth="1"/>
    <col min="5" max="5" width="19.33203125" customWidth="1"/>
  </cols>
  <sheetData>
    <row r="1" spans="1:6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8</v>
      </c>
    </row>
    <row r="2" spans="1:6" x14ac:dyDescent="0.3">
      <c r="A2" s="2">
        <v>1</v>
      </c>
      <c r="B2" s="3">
        <v>45852.62704861111</v>
      </c>
      <c r="C2" s="4">
        <v>45852.628055555557</v>
      </c>
      <c r="D2" s="2" t="s">
        <v>4</v>
      </c>
    </row>
    <row r="3" spans="1:6" x14ac:dyDescent="0.3">
      <c r="A3" s="2">
        <v>2</v>
      </c>
      <c r="B3" s="4">
        <v>45852.693159722221</v>
      </c>
      <c r="C3" s="4">
        <v>45852.693807870368</v>
      </c>
      <c r="D3" s="2" t="s">
        <v>5</v>
      </c>
    </row>
    <row r="4" spans="1:6" x14ac:dyDescent="0.3">
      <c r="A4" s="2">
        <v>3</v>
      </c>
      <c r="B4" s="4">
        <v>45852.696631944447</v>
      </c>
      <c r="C4" s="4">
        <v>45852.696898148148</v>
      </c>
      <c r="D4" s="2" t="s">
        <v>6</v>
      </c>
    </row>
    <row r="5" spans="1:6" x14ac:dyDescent="0.3">
      <c r="A5" s="2">
        <v>4</v>
      </c>
      <c r="B5" s="4">
        <v>45852.697939814818</v>
      </c>
      <c r="C5" s="4">
        <v>45852.698611111111</v>
      </c>
      <c r="D5" s="2" t="s">
        <v>7</v>
      </c>
    </row>
    <row r="6" spans="1:6" x14ac:dyDescent="0.3">
      <c r="A6" s="2">
        <v>5</v>
      </c>
      <c r="B6" s="3">
        <v>45854.421932870369</v>
      </c>
      <c r="C6" s="3">
        <v>45854.422465277778</v>
      </c>
      <c r="D6">
        <v>46</v>
      </c>
    </row>
    <row r="7" spans="1:6" x14ac:dyDescent="0.3">
      <c r="A7" s="2">
        <v>6</v>
      </c>
      <c r="B7" s="3">
        <v>45854.423125000001</v>
      </c>
      <c r="C7" s="3">
        <v>45854.423356481479</v>
      </c>
      <c r="D7">
        <v>20</v>
      </c>
    </row>
    <row r="8" spans="1:6" x14ac:dyDescent="0.3">
      <c r="A8" s="2">
        <v>7</v>
      </c>
      <c r="B8" s="3">
        <v>45854.423807870371</v>
      </c>
      <c r="C8" s="3">
        <v>45854.424201388887</v>
      </c>
      <c r="D8">
        <v>34</v>
      </c>
    </row>
    <row r="9" spans="1:6" x14ac:dyDescent="0.3">
      <c r="A9" s="2">
        <v>8</v>
      </c>
      <c r="B9" s="3">
        <v>45854.42454861111</v>
      </c>
      <c r="C9" s="3">
        <v>45854.424814814818</v>
      </c>
      <c r="D9">
        <v>23</v>
      </c>
    </row>
    <row r="10" spans="1:6" x14ac:dyDescent="0.3">
      <c r="A10" s="2">
        <v>9</v>
      </c>
      <c r="B10" s="3">
        <v>45854.425162037034</v>
      </c>
      <c r="C10" s="3">
        <v>45854.425451388888</v>
      </c>
      <c r="D10">
        <v>25</v>
      </c>
    </row>
    <row r="11" spans="1:6" x14ac:dyDescent="0.3">
      <c r="A11" s="2">
        <v>10</v>
      </c>
      <c r="B11" s="3">
        <v>45854.425810185188</v>
      </c>
    </row>
    <row r="12" spans="1:6" x14ac:dyDescent="0.3">
      <c r="A12" s="2">
        <v>11</v>
      </c>
      <c r="B12" s="3">
        <v>45854.426041666666</v>
      </c>
      <c r="C12" s="3">
        <v>45854.426261574074</v>
      </c>
      <c r="D12">
        <v>19</v>
      </c>
    </row>
    <row r="14" spans="1:6" x14ac:dyDescent="0.3">
      <c r="A14" t="s">
        <v>9</v>
      </c>
      <c r="B14" t="s">
        <v>10</v>
      </c>
      <c r="C14" t="s">
        <v>11</v>
      </c>
      <c r="D14" t="s">
        <v>12</v>
      </c>
      <c r="F14" t="s">
        <v>21</v>
      </c>
    </row>
    <row r="15" spans="1:6" x14ac:dyDescent="0.3">
      <c r="A15">
        <v>1</v>
      </c>
      <c r="B15" s="5">
        <v>0.42178240740740741</v>
      </c>
      <c r="C15" s="5">
        <v>0.42246527777777776</v>
      </c>
      <c r="D15">
        <v>59</v>
      </c>
      <c r="F15">
        <v>59000</v>
      </c>
    </row>
    <row r="16" spans="1:6" x14ac:dyDescent="0.3">
      <c r="A16">
        <v>2</v>
      </c>
      <c r="B16" s="5">
        <v>0.42297453703703702</v>
      </c>
      <c r="C16" s="3" t="s">
        <v>13</v>
      </c>
      <c r="D16">
        <v>33</v>
      </c>
      <c r="F16">
        <v>33000</v>
      </c>
    </row>
    <row r="17" spans="1:6" x14ac:dyDescent="0.3">
      <c r="A17">
        <v>3</v>
      </c>
      <c r="B17" s="3" t="s">
        <v>14</v>
      </c>
      <c r="C17" s="3" t="s">
        <v>15</v>
      </c>
      <c r="D17">
        <v>54</v>
      </c>
      <c r="F17">
        <v>54000</v>
      </c>
    </row>
    <row r="18" spans="1:6" x14ac:dyDescent="0.3">
      <c r="A18">
        <v>4</v>
      </c>
      <c r="B18" s="5">
        <v>0.42440972222222223</v>
      </c>
      <c r="C18" s="3" t="s">
        <v>16</v>
      </c>
      <c r="D18">
        <v>35</v>
      </c>
      <c r="F18">
        <v>35000</v>
      </c>
    </row>
    <row r="19" spans="1:6" x14ac:dyDescent="0.3">
      <c r="A19">
        <v>5</v>
      </c>
      <c r="B19" s="3" t="s">
        <v>17</v>
      </c>
      <c r="C19" s="3" t="s">
        <v>18</v>
      </c>
      <c r="D19">
        <v>38</v>
      </c>
      <c r="F19">
        <v>38000</v>
      </c>
    </row>
    <row r="20" spans="1:6" x14ac:dyDescent="0.3">
      <c r="A20">
        <v>6</v>
      </c>
      <c r="B20" s="3" t="s">
        <v>19</v>
      </c>
      <c r="C20" s="3" t="s">
        <v>20</v>
      </c>
      <c r="D20">
        <v>54</v>
      </c>
      <c r="F20">
        <v>54000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1F323A-5301-4A37-B47A-F383452B8505}">
  <dimension ref="B1:J8"/>
  <sheetViews>
    <sheetView workbookViewId="0">
      <selection activeCell="B1" sqref="B1:D8"/>
    </sheetView>
  </sheetViews>
  <sheetFormatPr defaultRowHeight="14.4" x14ac:dyDescent="0.3"/>
  <cols>
    <col min="4" max="4" width="18.33203125" customWidth="1"/>
    <col min="10" max="10" width="29" customWidth="1"/>
  </cols>
  <sheetData>
    <row r="1" spans="2:10" x14ac:dyDescent="0.3">
      <c r="D1">
        <v>50000</v>
      </c>
    </row>
    <row r="2" spans="2:10" x14ac:dyDescent="0.3">
      <c r="B2" t="s">
        <v>22</v>
      </c>
      <c r="C2" t="s">
        <v>21</v>
      </c>
      <c r="I2" t="s">
        <v>22</v>
      </c>
    </row>
    <row r="3" spans="2:10" x14ac:dyDescent="0.3">
      <c r="B3">
        <v>1</v>
      </c>
      <c r="C3">
        <v>59000</v>
      </c>
      <c r="D3">
        <f>$D$1 - C3</f>
        <v>-9000</v>
      </c>
      <c r="I3">
        <v>1</v>
      </c>
      <c r="J3">
        <f t="shared" ref="J3:J8" si="0">$D$1 - C3</f>
        <v>-9000</v>
      </c>
    </row>
    <row r="4" spans="2:10" x14ac:dyDescent="0.3">
      <c r="B4">
        <v>2</v>
      </c>
      <c r="C4">
        <v>33000</v>
      </c>
      <c r="D4">
        <f t="shared" ref="D4:D8" si="1">$D$1 - C4</f>
        <v>17000</v>
      </c>
      <c r="I4">
        <v>2</v>
      </c>
      <c r="J4">
        <f t="shared" si="0"/>
        <v>17000</v>
      </c>
    </row>
    <row r="5" spans="2:10" x14ac:dyDescent="0.3">
      <c r="B5">
        <v>3</v>
      </c>
      <c r="C5">
        <v>54000</v>
      </c>
      <c r="D5">
        <f t="shared" si="1"/>
        <v>-4000</v>
      </c>
      <c r="I5">
        <v>3</v>
      </c>
      <c r="J5">
        <f t="shared" si="0"/>
        <v>-4000</v>
      </c>
    </row>
    <row r="6" spans="2:10" x14ac:dyDescent="0.3">
      <c r="B6">
        <v>4</v>
      </c>
      <c r="C6">
        <v>35000</v>
      </c>
      <c r="D6">
        <f t="shared" si="1"/>
        <v>15000</v>
      </c>
      <c r="I6">
        <v>4</v>
      </c>
      <c r="J6">
        <f t="shared" si="0"/>
        <v>15000</v>
      </c>
    </row>
    <row r="7" spans="2:10" x14ac:dyDescent="0.3">
      <c r="B7">
        <v>5</v>
      </c>
      <c r="C7">
        <v>38000</v>
      </c>
      <c r="D7">
        <f t="shared" si="1"/>
        <v>12000</v>
      </c>
      <c r="I7">
        <v>5</v>
      </c>
      <c r="J7">
        <f t="shared" si="0"/>
        <v>12000</v>
      </c>
    </row>
    <row r="8" spans="2:10" x14ac:dyDescent="0.3">
      <c r="B8">
        <v>6</v>
      </c>
      <c r="C8">
        <v>54000</v>
      </c>
      <c r="D8">
        <f t="shared" si="1"/>
        <v>-4000</v>
      </c>
      <c r="I8">
        <v>6</v>
      </c>
      <c r="J8">
        <f t="shared" si="0"/>
        <v>-4000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7425FD-3161-4F10-A2A7-8950D6D27C6C}">
  <dimension ref="C1:J15"/>
  <sheetViews>
    <sheetView workbookViewId="0">
      <selection activeCell="J14" sqref="J14"/>
    </sheetView>
  </sheetViews>
  <sheetFormatPr defaultRowHeight="14.4" x14ac:dyDescent="0.3"/>
  <cols>
    <col min="5" max="5" width="11.77734375" customWidth="1"/>
  </cols>
  <sheetData>
    <row r="1" spans="3:10" x14ac:dyDescent="0.3">
      <c r="D1" t="s">
        <v>25</v>
      </c>
      <c r="H1" t="s">
        <v>24</v>
      </c>
    </row>
    <row r="3" spans="3:10" x14ac:dyDescent="0.3">
      <c r="E3">
        <v>50000</v>
      </c>
      <c r="I3">
        <v>50000</v>
      </c>
    </row>
    <row r="4" spans="3:10" x14ac:dyDescent="0.3">
      <c r="C4" t="s">
        <v>0</v>
      </c>
      <c r="D4" t="s">
        <v>23</v>
      </c>
      <c r="G4" t="s">
        <v>22</v>
      </c>
      <c r="H4" t="s">
        <v>21</v>
      </c>
    </row>
    <row r="5" spans="3:10" x14ac:dyDescent="0.3">
      <c r="C5">
        <v>1</v>
      </c>
      <c r="D5">
        <v>76000</v>
      </c>
      <c r="E5">
        <v>-26000</v>
      </c>
      <c r="G5">
        <v>1</v>
      </c>
      <c r="H5">
        <v>59000</v>
      </c>
      <c r="I5">
        <v>-9000</v>
      </c>
    </row>
    <row r="6" spans="3:10" x14ac:dyDescent="0.3">
      <c r="C6">
        <v>2</v>
      </c>
      <c r="D6">
        <v>28000</v>
      </c>
      <c r="E6">
        <v>22000</v>
      </c>
      <c r="G6">
        <v>2</v>
      </c>
      <c r="H6">
        <v>33000</v>
      </c>
      <c r="I6">
        <v>17000</v>
      </c>
    </row>
    <row r="7" spans="3:10" x14ac:dyDescent="0.3">
      <c r="C7">
        <v>3</v>
      </c>
      <c r="D7">
        <v>76000</v>
      </c>
      <c r="E7">
        <v>-26000</v>
      </c>
      <c r="G7">
        <v>3</v>
      </c>
      <c r="H7">
        <v>54000</v>
      </c>
      <c r="I7">
        <v>-4000</v>
      </c>
    </row>
    <row r="8" spans="3:10" x14ac:dyDescent="0.3">
      <c r="C8">
        <v>4</v>
      </c>
      <c r="D8">
        <v>31000</v>
      </c>
      <c r="E8">
        <v>19000</v>
      </c>
      <c r="G8">
        <v>4</v>
      </c>
      <c r="H8">
        <v>35000</v>
      </c>
      <c r="I8">
        <v>15000</v>
      </c>
    </row>
    <row r="9" spans="3:10" x14ac:dyDescent="0.3">
      <c r="C9">
        <v>5</v>
      </c>
      <c r="D9">
        <v>38000</v>
      </c>
      <c r="E9">
        <v>12000</v>
      </c>
      <c r="G9">
        <v>5</v>
      </c>
      <c r="H9">
        <v>38000</v>
      </c>
      <c r="I9">
        <v>12000</v>
      </c>
    </row>
    <row r="10" spans="3:10" x14ac:dyDescent="0.3">
      <c r="C10">
        <v>6</v>
      </c>
      <c r="D10">
        <v>32000</v>
      </c>
      <c r="E10">
        <v>18000</v>
      </c>
      <c r="G10">
        <v>6</v>
      </c>
      <c r="H10">
        <v>54000</v>
      </c>
      <c r="I10">
        <v>-4000</v>
      </c>
    </row>
    <row r="11" spans="3:10" x14ac:dyDescent="0.3">
      <c r="C11">
        <v>7</v>
      </c>
      <c r="D11">
        <v>45000</v>
      </c>
      <c r="E11">
        <v>5000</v>
      </c>
    </row>
    <row r="12" spans="3:10" x14ac:dyDescent="0.3">
      <c r="C12">
        <v>8</v>
      </c>
      <c r="D12">
        <v>22000</v>
      </c>
      <c r="E12">
        <v>28000</v>
      </c>
    </row>
    <row r="13" spans="3:10" x14ac:dyDescent="0.3">
      <c r="C13">
        <v>9</v>
      </c>
      <c r="D13">
        <v>27000</v>
      </c>
      <c r="E13">
        <v>23000</v>
      </c>
    </row>
    <row r="14" spans="3:10" x14ac:dyDescent="0.3">
      <c r="C14">
        <v>10</v>
      </c>
      <c r="D14">
        <v>83000</v>
      </c>
      <c r="E14">
        <v>-33000</v>
      </c>
      <c r="J14" t="s">
        <v>26</v>
      </c>
    </row>
    <row r="15" spans="3:10" x14ac:dyDescent="0.3">
      <c r="C15">
        <v>11</v>
      </c>
      <c r="D15">
        <v>32000</v>
      </c>
      <c r="E15">
        <v>18000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E22B7-8B81-464D-A0F9-AFB362F882B7}">
  <dimension ref="C2:J18"/>
  <sheetViews>
    <sheetView topLeftCell="F3" zoomScale="122" workbookViewId="0">
      <selection activeCell="J8" sqref="J8"/>
    </sheetView>
  </sheetViews>
  <sheetFormatPr defaultRowHeight="14.4" x14ac:dyDescent="0.3"/>
  <sheetData>
    <row r="2" spans="3:10" x14ac:dyDescent="0.3">
      <c r="D2" t="s">
        <v>25</v>
      </c>
      <c r="H2" t="s">
        <v>24</v>
      </c>
    </row>
    <row r="4" spans="3:10" x14ac:dyDescent="0.3">
      <c r="E4">
        <v>70000</v>
      </c>
      <c r="I4">
        <v>70000</v>
      </c>
    </row>
    <row r="5" spans="3:10" x14ac:dyDescent="0.3">
      <c r="C5" t="s">
        <v>0</v>
      </c>
      <c r="D5" t="s">
        <v>23</v>
      </c>
      <c r="G5" t="s">
        <v>22</v>
      </c>
      <c r="H5" t="s">
        <v>21</v>
      </c>
    </row>
    <row r="6" spans="3:10" x14ac:dyDescent="0.3">
      <c r="C6">
        <v>1</v>
      </c>
      <c r="D6">
        <v>76000</v>
      </c>
      <c r="E6">
        <f>$E$4 -D6</f>
        <v>-6000</v>
      </c>
      <c r="G6">
        <v>1</v>
      </c>
      <c r="H6">
        <v>59000</v>
      </c>
      <c r="I6">
        <f>$I$4-H6</f>
        <v>11000</v>
      </c>
      <c r="J6">
        <v>-6000</v>
      </c>
    </row>
    <row r="7" spans="3:10" x14ac:dyDescent="0.3">
      <c r="C7">
        <v>2</v>
      </c>
      <c r="D7">
        <v>28000</v>
      </c>
      <c r="E7">
        <f t="shared" ref="E7:E11" si="0">$E$4 -D7</f>
        <v>42000</v>
      </c>
      <c r="G7">
        <v>2</v>
      </c>
      <c r="H7">
        <v>33000</v>
      </c>
      <c r="I7">
        <f t="shared" ref="I7:I11" si="1">$I$4-H7</f>
        <v>37000</v>
      </c>
      <c r="J7">
        <v>42000</v>
      </c>
    </row>
    <row r="8" spans="3:10" x14ac:dyDescent="0.3">
      <c r="C8">
        <v>3</v>
      </c>
      <c r="D8">
        <v>76000</v>
      </c>
      <c r="E8">
        <f t="shared" si="0"/>
        <v>-6000</v>
      </c>
      <c r="G8">
        <v>3</v>
      </c>
      <c r="H8">
        <v>54000</v>
      </c>
      <c r="I8">
        <f t="shared" si="1"/>
        <v>16000</v>
      </c>
      <c r="J8">
        <v>-6000</v>
      </c>
    </row>
    <row r="9" spans="3:10" x14ac:dyDescent="0.3">
      <c r="C9">
        <v>4</v>
      </c>
      <c r="D9">
        <v>31000</v>
      </c>
      <c r="E9">
        <f t="shared" si="0"/>
        <v>39000</v>
      </c>
      <c r="G9">
        <v>4</v>
      </c>
      <c r="H9">
        <v>35000</v>
      </c>
      <c r="I9">
        <f t="shared" si="1"/>
        <v>35000</v>
      </c>
      <c r="J9">
        <v>39000</v>
      </c>
    </row>
    <row r="10" spans="3:10" x14ac:dyDescent="0.3">
      <c r="C10">
        <v>5</v>
      </c>
      <c r="D10">
        <v>38000</v>
      </c>
      <c r="E10">
        <f t="shared" si="0"/>
        <v>32000</v>
      </c>
      <c r="G10">
        <v>5</v>
      </c>
      <c r="H10">
        <v>38000</v>
      </c>
      <c r="I10">
        <f t="shared" si="1"/>
        <v>32000</v>
      </c>
      <c r="J10">
        <v>32000</v>
      </c>
    </row>
    <row r="11" spans="3:10" x14ac:dyDescent="0.3">
      <c r="C11">
        <v>6</v>
      </c>
      <c r="D11">
        <v>32000</v>
      </c>
      <c r="E11">
        <f t="shared" si="0"/>
        <v>38000</v>
      </c>
      <c r="G11">
        <v>6</v>
      </c>
      <c r="H11">
        <v>54000</v>
      </c>
      <c r="I11">
        <f t="shared" si="1"/>
        <v>16000</v>
      </c>
      <c r="J11">
        <v>38000</v>
      </c>
    </row>
    <row r="17" spans="3:8" x14ac:dyDescent="0.3">
      <c r="C17" s="6"/>
      <c r="D17" s="6"/>
      <c r="E17" s="6"/>
      <c r="F17" s="6"/>
      <c r="G17" s="6"/>
      <c r="H17" s="6"/>
    </row>
    <row r="18" spans="3:8" ht="15" thickBot="1" x14ac:dyDescent="0.35">
      <c r="C18" s="7"/>
      <c r="D18" s="7"/>
      <c r="E18" s="8"/>
      <c r="F18" s="8"/>
      <c r="G18" s="8"/>
      <c r="H18" s="7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C83604-35A5-4A02-80C2-76739EDCA82F}">
  <dimension ref="B7:T90"/>
  <sheetViews>
    <sheetView tabSelected="1" topLeftCell="D21" zoomScale="83" workbookViewId="0">
      <selection activeCell="F39" sqref="F39"/>
    </sheetView>
  </sheetViews>
  <sheetFormatPr defaultRowHeight="14.4" x14ac:dyDescent="0.3"/>
  <cols>
    <col min="2" max="2" width="14.6640625" customWidth="1"/>
    <col min="3" max="3" width="21.33203125" bestFit="1" customWidth="1"/>
    <col min="4" max="4" width="27.44140625" customWidth="1"/>
    <col min="5" max="6" width="21.5546875" customWidth="1"/>
    <col min="7" max="7" width="25" customWidth="1"/>
    <col min="9" max="9" width="20.6640625" customWidth="1"/>
    <col min="18" max="18" width="14" customWidth="1"/>
    <col min="19" max="19" width="18.21875" customWidth="1"/>
    <col min="20" max="20" width="17.21875" customWidth="1"/>
  </cols>
  <sheetData>
    <row r="7" spans="2:11" x14ac:dyDescent="0.3">
      <c r="D7" t="s">
        <v>40</v>
      </c>
      <c r="F7" s="6"/>
      <c r="G7" s="6"/>
      <c r="H7" s="6"/>
      <c r="I7" s="6"/>
      <c r="J7" s="6"/>
      <c r="K7" s="6"/>
    </row>
    <row r="8" spans="2:11" ht="15" thickBot="1" x14ac:dyDescent="0.35">
      <c r="F8" s="7"/>
      <c r="G8" s="7"/>
      <c r="H8" s="8"/>
      <c r="I8" s="8"/>
      <c r="J8" s="8"/>
      <c r="K8" s="7"/>
    </row>
    <row r="9" spans="2:11" x14ac:dyDescent="0.3">
      <c r="B9" t="s">
        <v>28</v>
      </c>
      <c r="C9" t="s">
        <v>24</v>
      </c>
    </row>
    <row r="10" spans="2:11" x14ac:dyDescent="0.3">
      <c r="F10">
        <v>70000</v>
      </c>
    </row>
    <row r="11" spans="2:11" x14ac:dyDescent="0.3">
      <c r="B11" s="17" t="s">
        <v>0</v>
      </c>
      <c r="C11" s="18" t="s">
        <v>30</v>
      </c>
      <c r="D11" s="18" t="s">
        <v>31</v>
      </c>
      <c r="E11" s="18" t="s">
        <v>27</v>
      </c>
      <c r="F11" s="19" t="s">
        <v>41</v>
      </c>
    </row>
    <row r="12" spans="2:11" x14ac:dyDescent="0.3">
      <c r="B12" s="15">
        <v>1</v>
      </c>
      <c r="C12" s="12">
        <v>0.42178240740740741</v>
      </c>
      <c r="D12" s="12">
        <v>0.42246527777777776</v>
      </c>
      <c r="E12" s="11">
        <v>59000</v>
      </c>
      <c r="F12" s="16">
        <f>F10-E12</f>
        <v>11000</v>
      </c>
      <c r="H12" t="s">
        <v>42</v>
      </c>
    </row>
    <row r="13" spans="2:11" x14ac:dyDescent="0.3">
      <c r="B13" s="15">
        <v>2</v>
      </c>
      <c r="C13" s="12">
        <v>0.42297453703703702</v>
      </c>
      <c r="D13" s="13" t="s">
        <v>13</v>
      </c>
      <c r="E13" s="11">
        <v>33000</v>
      </c>
      <c r="F13" s="16">
        <f>F10-E13</f>
        <v>37000</v>
      </c>
      <c r="H13" s="10" t="s">
        <v>0</v>
      </c>
      <c r="I13" s="10" t="s">
        <v>27</v>
      </c>
    </row>
    <row r="14" spans="2:11" x14ac:dyDescent="0.3">
      <c r="B14" s="15">
        <v>3</v>
      </c>
      <c r="C14" s="14" t="s">
        <v>32</v>
      </c>
      <c r="D14" s="13" t="s">
        <v>15</v>
      </c>
      <c r="E14" s="11">
        <v>54000</v>
      </c>
      <c r="F14" s="16">
        <f>F10-E14</f>
        <v>16000</v>
      </c>
      <c r="H14" s="10">
        <v>1</v>
      </c>
      <c r="I14">
        <f>$F10-E12</f>
        <v>11000</v>
      </c>
    </row>
    <row r="15" spans="2:11" x14ac:dyDescent="0.3">
      <c r="B15" s="15">
        <v>4</v>
      </c>
      <c r="C15" s="12">
        <v>0.42440972222222223</v>
      </c>
      <c r="D15" s="13" t="s">
        <v>16</v>
      </c>
      <c r="E15" s="11">
        <v>35000</v>
      </c>
      <c r="F15" s="16">
        <f>F10-E15</f>
        <v>35000</v>
      </c>
      <c r="H15" s="10">
        <v>2</v>
      </c>
      <c r="I15">
        <v>37000</v>
      </c>
    </row>
    <row r="16" spans="2:11" x14ac:dyDescent="0.3">
      <c r="B16" s="15">
        <v>5</v>
      </c>
      <c r="C16" s="13" t="s">
        <v>17</v>
      </c>
      <c r="D16" s="13" t="s">
        <v>18</v>
      </c>
      <c r="E16" s="11">
        <v>38000</v>
      </c>
      <c r="F16" s="16">
        <f>F10-E16</f>
        <v>32000</v>
      </c>
      <c r="H16" s="10">
        <v>3</v>
      </c>
      <c r="I16">
        <f>16000</f>
        <v>16000</v>
      </c>
    </row>
    <row r="17" spans="2:9" x14ac:dyDescent="0.3">
      <c r="B17" s="20">
        <v>6</v>
      </c>
      <c r="C17" s="21" t="s">
        <v>19</v>
      </c>
      <c r="D17" s="21" t="s">
        <v>20</v>
      </c>
      <c r="E17" s="22">
        <v>54000</v>
      </c>
      <c r="F17" s="23">
        <f>F10-E17</f>
        <v>16000</v>
      </c>
      <c r="H17" s="10">
        <v>4</v>
      </c>
      <c r="I17">
        <v>35000</v>
      </c>
    </row>
    <row r="18" spans="2:9" x14ac:dyDescent="0.3">
      <c r="H18" s="10">
        <v>5</v>
      </c>
      <c r="I18">
        <v>32000</v>
      </c>
    </row>
    <row r="19" spans="2:9" x14ac:dyDescent="0.3">
      <c r="B19" t="s">
        <v>28</v>
      </c>
      <c r="C19" s="3" t="s">
        <v>29</v>
      </c>
      <c r="H19" s="10">
        <v>6</v>
      </c>
      <c r="I19">
        <v>16000</v>
      </c>
    </row>
    <row r="20" spans="2:9" x14ac:dyDescent="0.3">
      <c r="B20" t="s">
        <v>0</v>
      </c>
      <c r="C20" t="s">
        <v>30</v>
      </c>
      <c r="D20" t="s">
        <v>31</v>
      </c>
      <c r="E20" t="s">
        <v>23</v>
      </c>
      <c r="F20" s="10" t="s">
        <v>41</v>
      </c>
    </row>
    <row r="21" spans="2:9" x14ac:dyDescent="0.3">
      <c r="B21">
        <v>1</v>
      </c>
      <c r="C21" s="9">
        <v>0.95136574074074076</v>
      </c>
      <c r="D21" s="9">
        <v>0.95224450231481483</v>
      </c>
      <c r="E21">
        <v>76000</v>
      </c>
      <c r="F21">
        <f>F10-E21</f>
        <v>-6000</v>
      </c>
    </row>
    <row r="22" spans="2:9" x14ac:dyDescent="0.3">
      <c r="B22">
        <v>2</v>
      </c>
      <c r="C22" s="9">
        <v>0.95232638888888888</v>
      </c>
      <c r="D22" s="9">
        <v>0.95265013888888883</v>
      </c>
      <c r="E22">
        <v>28000</v>
      </c>
      <c r="F22">
        <f>F10-E22</f>
        <v>42000</v>
      </c>
    </row>
    <row r="23" spans="2:9" x14ac:dyDescent="0.3">
      <c r="B23">
        <v>3</v>
      </c>
      <c r="C23" s="9">
        <v>0.95287037037037037</v>
      </c>
      <c r="D23" s="9">
        <v>0.95374999999999999</v>
      </c>
      <c r="E23">
        <v>76000</v>
      </c>
      <c r="F23">
        <f>F10-E23</f>
        <v>-6000</v>
      </c>
    </row>
    <row r="24" spans="2:9" x14ac:dyDescent="0.3">
      <c r="B24">
        <v>4</v>
      </c>
      <c r="C24" s="9">
        <v>0.96668981481481486</v>
      </c>
      <c r="D24" s="9">
        <v>0.96704827546296301</v>
      </c>
      <c r="E24">
        <v>31000</v>
      </c>
      <c r="F24">
        <f>F10-E24</f>
        <v>39000</v>
      </c>
    </row>
    <row r="25" spans="2:9" x14ac:dyDescent="0.3">
      <c r="B25">
        <v>5</v>
      </c>
      <c r="C25" s="9">
        <v>0.97281249999999997</v>
      </c>
      <c r="D25" s="9">
        <v>0.97325630787037043</v>
      </c>
      <c r="E25">
        <v>38000</v>
      </c>
      <c r="F25">
        <f>F10-E25</f>
        <v>32000</v>
      </c>
    </row>
    <row r="26" spans="2:9" x14ac:dyDescent="0.3">
      <c r="B26">
        <v>6</v>
      </c>
      <c r="C26" s="9">
        <v>0.97392361111111114</v>
      </c>
      <c r="D26" s="9">
        <v>0.9742967939814815</v>
      </c>
      <c r="E26">
        <v>32000</v>
      </c>
      <c r="F26">
        <f>F10-E26</f>
        <v>38000</v>
      </c>
    </row>
    <row r="35" spans="4:4" x14ac:dyDescent="0.3">
      <c r="D35" t="s">
        <v>43</v>
      </c>
    </row>
    <row r="84" spans="18:20" x14ac:dyDescent="0.3">
      <c r="R84" t="s">
        <v>0</v>
      </c>
      <c r="S84" t="s">
        <v>43</v>
      </c>
      <c r="T84" s="10" t="s">
        <v>42</v>
      </c>
    </row>
    <row r="85" spans="18:20" x14ac:dyDescent="0.3">
      <c r="R85">
        <v>1</v>
      </c>
      <c r="S85">
        <v>-6000</v>
      </c>
      <c r="T85">
        <v>11000</v>
      </c>
    </row>
    <row r="86" spans="18:20" x14ac:dyDescent="0.3">
      <c r="R86">
        <v>2</v>
      </c>
      <c r="S86">
        <v>42000</v>
      </c>
      <c r="T86">
        <v>37000</v>
      </c>
    </row>
    <row r="87" spans="18:20" x14ac:dyDescent="0.3">
      <c r="R87">
        <v>3</v>
      </c>
      <c r="S87">
        <v>-6000</v>
      </c>
      <c r="T87">
        <f>16000</f>
        <v>16000</v>
      </c>
    </row>
    <row r="88" spans="18:20" x14ac:dyDescent="0.3">
      <c r="R88">
        <v>4</v>
      </c>
      <c r="S88">
        <v>39000</v>
      </c>
      <c r="T88">
        <v>35000</v>
      </c>
    </row>
    <row r="89" spans="18:20" x14ac:dyDescent="0.3">
      <c r="R89">
        <v>5</v>
      </c>
      <c r="S89">
        <v>32000</v>
      </c>
      <c r="T89">
        <v>32000</v>
      </c>
    </row>
    <row r="90" spans="18:20" x14ac:dyDescent="0.3">
      <c r="R90">
        <v>6</v>
      </c>
      <c r="S90">
        <v>38000</v>
      </c>
      <c r="T90">
        <v>16000</v>
      </c>
    </row>
  </sheetData>
  <pageMargins left="0.7" right="0.7" top="0.75" bottom="0.75" header="0.3" footer="0.3"/>
  <pageSetup orientation="portrait" horizontalDpi="360" verticalDpi="360" r:id="rId1"/>
  <drawing r:id="rId2"/>
  <tableParts count="3">
    <tablePart r:id="rId3"/>
    <tablePart r:id="rId4"/>
    <tablePart r:id="rId5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FBB6C0-7DBC-4D80-8F4F-C2EC7F37C1FB}">
  <dimension ref="A1:C21"/>
  <sheetViews>
    <sheetView topLeftCell="A7" workbookViewId="0">
      <selection activeCell="A16" sqref="A16:C20"/>
    </sheetView>
  </sheetViews>
  <sheetFormatPr defaultRowHeight="14.4" x14ac:dyDescent="0.3"/>
  <sheetData>
    <row r="1" spans="1:3" x14ac:dyDescent="0.3">
      <c r="A1" t="s">
        <v>37</v>
      </c>
      <c r="B1" t="s">
        <v>38</v>
      </c>
      <c r="C1" t="s">
        <v>39</v>
      </c>
    </row>
    <row r="2" spans="1:3" x14ac:dyDescent="0.3">
      <c r="A2" t="s">
        <v>33</v>
      </c>
      <c r="B2">
        <v>23</v>
      </c>
      <c r="C2">
        <v>90</v>
      </c>
    </row>
    <row r="3" spans="1:3" x14ac:dyDescent="0.3">
      <c r="A3" t="s">
        <v>34</v>
      </c>
      <c r="B3">
        <v>34</v>
      </c>
      <c r="C3">
        <v>78</v>
      </c>
    </row>
    <row r="4" spans="1:3" x14ac:dyDescent="0.3">
      <c r="A4" t="s">
        <v>35</v>
      </c>
      <c r="B4">
        <v>56</v>
      </c>
      <c r="C4">
        <v>56</v>
      </c>
    </row>
    <row r="5" spans="1:3" x14ac:dyDescent="0.3">
      <c r="A5" t="s">
        <v>36</v>
      </c>
      <c r="B5">
        <v>34</v>
      </c>
      <c r="C5">
        <v>56</v>
      </c>
    </row>
    <row r="6" spans="1:3" x14ac:dyDescent="0.3">
      <c r="A6" t="s">
        <v>37</v>
      </c>
      <c r="B6" t="s">
        <v>38</v>
      </c>
      <c r="C6" t="s">
        <v>39</v>
      </c>
    </row>
    <row r="7" spans="1:3" x14ac:dyDescent="0.3">
      <c r="A7" t="s">
        <v>33</v>
      </c>
      <c r="B7">
        <v>23</v>
      </c>
      <c r="C7">
        <v>90</v>
      </c>
    </row>
    <row r="8" spans="1:3" x14ac:dyDescent="0.3">
      <c r="A8" t="s">
        <v>34</v>
      </c>
      <c r="B8">
        <v>34</v>
      </c>
      <c r="C8">
        <v>78</v>
      </c>
    </row>
    <row r="9" spans="1:3" x14ac:dyDescent="0.3">
      <c r="A9" t="s">
        <v>35</v>
      </c>
      <c r="B9">
        <v>56</v>
      </c>
      <c r="C9">
        <v>56</v>
      </c>
    </row>
    <row r="10" spans="1:3" x14ac:dyDescent="0.3">
      <c r="A10" t="s">
        <v>36</v>
      </c>
      <c r="B10">
        <v>34</v>
      </c>
      <c r="C10">
        <v>56</v>
      </c>
    </row>
    <row r="11" spans="1:3" x14ac:dyDescent="0.3">
      <c r="A11" t="s">
        <v>37</v>
      </c>
      <c r="B11" t="s">
        <v>38</v>
      </c>
      <c r="C11" t="s">
        <v>39</v>
      </c>
    </row>
    <row r="12" spans="1:3" x14ac:dyDescent="0.3">
      <c r="A12" t="s">
        <v>33</v>
      </c>
      <c r="B12">
        <v>23</v>
      </c>
      <c r="C12">
        <v>90</v>
      </c>
    </row>
    <row r="13" spans="1:3" x14ac:dyDescent="0.3">
      <c r="A13" t="s">
        <v>34</v>
      </c>
      <c r="B13">
        <v>34</v>
      </c>
      <c r="C13">
        <v>78</v>
      </c>
    </row>
    <row r="14" spans="1:3" x14ac:dyDescent="0.3">
      <c r="A14" t="s">
        <v>35</v>
      </c>
      <c r="B14">
        <v>56</v>
      </c>
      <c r="C14">
        <v>56</v>
      </c>
    </row>
    <row r="15" spans="1:3" x14ac:dyDescent="0.3">
      <c r="A15" t="s">
        <v>36</v>
      </c>
      <c r="B15">
        <v>34</v>
      </c>
      <c r="C15">
        <v>56</v>
      </c>
    </row>
    <row r="17" spans="1:3" x14ac:dyDescent="0.3">
      <c r="A17" t="s">
        <v>37</v>
      </c>
      <c r="B17" t="s">
        <v>38</v>
      </c>
      <c r="C17" t="s">
        <v>39</v>
      </c>
    </row>
    <row r="18" spans="1:3" x14ac:dyDescent="0.3">
      <c r="A18" t="s">
        <v>33</v>
      </c>
      <c r="B18">
        <v>23</v>
      </c>
      <c r="C18">
        <v>90</v>
      </c>
    </row>
    <row r="19" spans="1:3" x14ac:dyDescent="0.3">
      <c r="A19" t="s">
        <v>34</v>
      </c>
      <c r="B19">
        <v>34</v>
      </c>
      <c r="C19">
        <v>78</v>
      </c>
    </row>
    <row r="20" spans="1:3" x14ac:dyDescent="0.3">
      <c r="A20" t="s">
        <v>35</v>
      </c>
      <c r="B20">
        <v>56</v>
      </c>
      <c r="C20">
        <v>56</v>
      </c>
    </row>
    <row r="21" spans="1:3" x14ac:dyDescent="0.3">
      <c r="A21" t="s">
        <v>36</v>
      </c>
      <c r="B21">
        <v>34</v>
      </c>
      <c r="C21">
        <v>56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906576-6789-4E46-8F24-84ED601B0151}">
  <dimension ref="A1:C5"/>
  <sheetViews>
    <sheetView workbookViewId="0">
      <selection activeCell="C2" sqref="C2:C5"/>
    </sheetView>
  </sheetViews>
  <sheetFormatPr defaultRowHeight="14.4" x14ac:dyDescent="0.3"/>
  <sheetData>
    <row r="1" spans="1:3" x14ac:dyDescent="0.3">
      <c r="A1" t="s">
        <v>37</v>
      </c>
      <c r="B1" t="s">
        <v>38</v>
      </c>
      <c r="C1" t="s">
        <v>39</v>
      </c>
    </row>
    <row r="2" spans="1:3" x14ac:dyDescent="0.3">
      <c r="A2" t="s">
        <v>33</v>
      </c>
      <c r="B2">
        <v>23</v>
      </c>
      <c r="C2">
        <f>VLOOKUP(A2,Sheet6!A2:C5,3,0)</f>
        <v>90</v>
      </c>
    </row>
    <row r="3" spans="1:3" x14ac:dyDescent="0.3">
      <c r="A3" t="s">
        <v>34</v>
      </c>
      <c r="B3">
        <v>34</v>
      </c>
      <c r="C3">
        <f>VLOOKUP(A3,Sheet6!A3:C6,3,0)</f>
        <v>78</v>
      </c>
    </row>
    <row r="4" spans="1:3" x14ac:dyDescent="0.3">
      <c r="A4" t="s">
        <v>35</v>
      </c>
      <c r="B4">
        <v>56</v>
      </c>
      <c r="C4">
        <f>VLOOKUP(A4,Sheet6!A4:C7,3,0)</f>
        <v>56</v>
      </c>
    </row>
    <row r="5" spans="1:3" x14ac:dyDescent="0.3">
      <c r="A5" t="s">
        <v>36</v>
      </c>
      <c r="B5">
        <v>34</v>
      </c>
      <c r="C5">
        <f>VLOOKUP(A5,Sheet6!A5:C8,3,0)</f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Sheet1</vt:lpstr>
      <vt:lpstr>Sheet2</vt:lpstr>
      <vt:lpstr>Sheet3</vt:lpstr>
      <vt:lpstr>Sheet4</vt:lpstr>
      <vt:lpstr>Sheet5</vt:lpstr>
      <vt:lpstr>Sheet6</vt:lpstr>
      <vt:lpstr>Sheet7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Harshita B</cp:lastModifiedBy>
  <dcterms:created xsi:type="dcterms:W3CDTF">2015-06-05T18:17:20Z</dcterms:created>
  <dcterms:modified xsi:type="dcterms:W3CDTF">2025-07-30T21:34:00Z</dcterms:modified>
</cp:coreProperties>
</file>